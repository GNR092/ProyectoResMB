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IDENCIA\MBProject\html\"/>
    </mc:Choice>
  </mc:AlternateContent>
  <xr:revisionPtr revIDLastSave="0" documentId="13_ncr:1_{0FF722C6-5B26-49F0-A421-A25F084D2333}" xr6:coauthVersionLast="47" xr6:coauthVersionMax="47" xr10:uidLastSave="{00000000-0000-0000-0000-000000000000}"/>
  <bookViews>
    <workbookView xWindow="19090" yWindow="-110" windowWidth="19420" windowHeight="10420" xr2:uid="{792C9C6A-37F1-4EBF-806C-6221D4EB8908}"/>
  </bookViews>
  <sheets>
    <sheet name="COMPRAS - PRESUPUESTO VS EJECUT" sheetId="1" r:id="rId1"/>
    <sheet name="ALMACEN" sheetId="2" r:id="rId2"/>
    <sheet name="ALMACEN1" sheetId="3" r:id="rId3"/>
    <sheet name="ALMACEN2" sheetId="4" r:id="rId4"/>
    <sheet name="ALMACEN3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I19" i="1" s="1"/>
  <c r="I18" i="1" s="1"/>
  <c r="G8" i="5"/>
  <c r="G7" i="5"/>
  <c r="F6" i="5"/>
  <c r="F5" i="5"/>
  <c r="H5" i="5" s="1"/>
  <c r="H6" i="5" s="1"/>
  <c r="H7" i="5" s="1"/>
  <c r="H8" i="5" s="1"/>
  <c r="G6" i="2"/>
  <c r="E8" i="4"/>
  <c r="B7" i="4"/>
  <c r="B6" i="4"/>
  <c r="E6" i="2"/>
  <c r="F12" i="2"/>
  <c r="H12" i="2" s="1"/>
  <c r="D12" i="2"/>
  <c r="C12" i="2"/>
  <c r="B12" i="2"/>
  <c r="C3" i="2"/>
  <c r="F6" i="2"/>
  <c r="D6" i="2"/>
  <c r="D6" i="4" s="1"/>
  <c r="D7" i="4" s="1"/>
  <c r="C6" i="2"/>
  <c r="C6" i="4" s="1"/>
  <c r="C7" i="4" s="1"/>
  <c r="B6" i="2"/>
  <c r="I35" i="1"/>
  <c r="I34" i="1" s="1"/>
  <c r="I38" i="1"/>
  <c r="I37" i="1"/>
  <c r="I41" i="1"/>
  <c r="I40" i="1" s="1"/>
  <c r="I44" i="1"/>
  <c r="I43" i="1" s="1"/>
  <c r="I30" i="1"/>
  <c r="I29" i="1" s="1"/>
  <c r="I28" i="1" s="1"/>
  <c r="I25" i="1"/>
  <c r="I24" i="1" s="1"/>
  <c r="I23" i="1" s="1"/>
  <c r="H6" i="2" l="1"/>
  <c r="I33" i="1"/>
  <c r="I17" i="1" s="1"/>
  <c r="J17" i="1" l="1"/>
  <c r="K17" i="1"/>
</calcChain>
</file>

<file path=xl/sharedStrings.xml><?xml version="1.0" encoding="utf-8"?>
<sst xmlns="http://schemas.openxmlformats.org/spreadsheetml/2006/main" count="159" uniqueCount="62">
  <si>
    <t>ID</t>
  </si>
  <si>
    <t>PRODUCTO</t>
  </si>
  <si>
    <t xml:space="preserve">UNIDAD </t>
  </si>
  <si>
    <t>SEGMENTO NEGOCIO</t>
  </si>
  <si>
    <t>TIMBRES</t>
  </si>
  <si>
    <t>UNO</t>
  </si>
  <si>
    <t>CAMPUS</t>
  </si>
  <si>
    <t>GRUPO</t>
  </si>
  <si>
    <t>GASTOS DE ADMINISTRACION</t>
  </si>
  <si>
    <t>LLANTAS</t>
  </si>
  <si>
    <t>PIEZA</t>
  </si>
  <si>
    <t>TRANSPORTE</t>
  </si>
  <si>
    <t>GASTOS DE MANTTO EQUIPO DE TRANSPORTE</t>
  </si>
  <si>
    <t>RENTAS</t>
  </si>
  <si>
    <t>HOTEL</t>
  </si>
  <si>
    <t>CONDOMINIOS</t>
  </si>
  <si>
    <t>NEGOCIO</t>
  </si>
  <si>
    <t>OPERADORA</t>
  </si>
  <si>
    <t>JABON</t>
  </si>
  <si>
    <t>SAPITOS</t>
  </si>
  <si>
    <t xml:space="preserve">GASTOS DE HOTEL </t>
  </si>
  <si>
    <t xml:space="preserve">GASTOS DE MANTTO </t>
  </si>
  <si>
    <t>AB1</t>
  </si>
  <si>
    <t>AB2</t>
  </si>
  <si>
    <t>TMZN122</t>
  </si>
  <si>
    <t>PROYECTO</t>
  </si>
  <si>
    <t xml:space="preserve">RENTAS </t>
  </si>
  <si>
    <t xml:space="preserve">OPERADORA </t>
  </si>
  <si>
    <t xml:space="preserve">TRANSPORTE </t>
  </si>
  <si>
    <t>GASTOS DE HOTEL</t>
  </si>
  <si>
    <t>GASTOS DE MANTTO</t>
  </si>
  <si>
    <t>PRESUPUESTO</t>
  </si>
  <si>
    <t>EJECUTADO</t>
  </si>
  <si>
    <t>CANTIDAD</t>
  </si>
  <si>
    <t>INVENTARIO INICIAL</t>
  </si>
  <si>
    <t>CONCEPTO</t>
  </si>
  <si>
    <t>UNIDAD</t>
  </si>
  <si>
    <t>ENTRADAS</t>
  </si>
  <si>
    <t xml:space="preserve">SALIDAS </t>
  </si>
  <si>
    <t>INVENTARIO FINAL</t>
  </si>
  <si>
    <t>SALIDA ALMACEN</t>
  </si>
  <si>
    <t xml:space="preserve">PERIODO : </t>
  </si>
  <si>
    <t>MENSUAL</t>
  </si>
  <si>
    <t xml:space="preserve">TIPO SALIDA </t>
  </si>
  <si>
    <t>ENTREGA</t>
  </si>
  <si>
    <t>MERMA</t>
  </si>
  <si>
    <t>SOBRANTE</t>
  </si>
  <si>
    <t>TIPO ENTRADA</t>
  </si>
  <si>
    <t>COMPRAS</t>
  </si>
  <si>
    <t>KARDEX</t>
  </si>
  <si>
    <t>ACUMULADO</t>
  </si>
  <si>
    <t>TIPO</t>
  </si>
  <si>
    <t>CLASF1</t>
  </si>
  <si>
    <t>CLASF2</t>
  </si>
  <si>
    <t>CLASF3</t>
  </si>
  <si>
    <t>CLASF4</t>
  </si>
  <si>
    <t>DATOS DEL PRODUCTOS</t>
  </si>
  <si>
    <t>Razón Social</t>
  </si>
  <si>
    <t>Departamento</t>
  </si>
  <si>
    <t>Se crea</t>
  </si>
  <si>
    <t>Inventario</t>
  </si>
  <si>
    <t>Complejo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</si>
</sst>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5" borderId="10" xfId="0" applyFill="1" applyBorder="1"/>
    <xf numFmtId="0" fontId="0" fillId="6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E679-5A99-46E8-9837-7F566FE3CDA4}">
  <dimension ref="B2:K45"/>
  <sheetViews>
    <sheetView tabSelected="1" topLeftCell="A2" workbookViewId="0">
      <selection activeCell="G16" sqref="G16"/>
    </sheetView>
  </sheetViews>
  <sheetFormatPr baseColWidth="10" defaultRowHeight="14.4" x14ac:dyDescent="0.3"/>
  <cols>
    <col min="2" max="2" width="5" bestFit="1" customWidth="1"/>
    <col min="3" max="3" width="10.44140625" bestFit="1" customWidth="1"/>
    <col min="4" max="4" width="8.21875" bestFit="1" customWidth="1"/>
    <col min="5" max="5" width="9.6640625" bestFit="1" customWidth="1"/>
    <col min="6" max="6" width="18.88671875" bestFit="1" customWidth="1"/>
    <col min="7" max="7" width="40.44140625" bestFit="1" customWidth="1"/>
    <col min="8" max="8" width="13.21875" bestFit="1" customWidth="1"/>
    <col min="9" max="9" width="39.5546875" bestFit="1" customWidth="1"/>
    <col min="10" max="10" width="13.21875" bestFit="1" customWidth="1"/>
  </cols>
  <sheetData>
    <row r="2" spans="2:10" ht="15" thickBot="1" x14ac:dyDescent="0.35"/>
    <row r="3" spans="2:10" x14ac:dyDescent="0.3">
      <c r="B3" s="5" t="s">
        <v>56</v>
      </c>
      <c r="C3" s="6"/>
      <c r="D3" s="6"/>
      <c r="E3" s="7"/>
      <c r="F3" s="16" t="s">
        <v>57</v>
      </c>
      <c r="G3" s="16" t="s">
        <v>61</v>
      </c>
      <c r="H3" s="16" t="s">
        <v>58</v>
      </c>
      <c r="I3" s="17" t="s">
        <v>59</v>
      </c>
      <c r="J3" s="17" t="s">
        <v>60</v>
      </c>
    </row>
    <row r="4" spans="2:10" x14ac:dyDescent="0.3">
      <c r="B4" s="8"/>
      <c r="C4" s="9"/>
      <c r="D4" s="9"/>
      <c r="E4" s="10"/>
      <c r="F4" s="14"/>
      <c r="G4" s="14" t="s">
        <v>52</v>
      </c>
      <c r="H4" s="14" t="s">
        <v>53</v>
      </c>
      <c r="I4" s="14" t="s">
        <v>54</v>
      </c>
      <c r="J4" s="14" t="s">
        <v>55</v>
      </c>
    </row>
    <row r="5" spans="2:10" x14ac:dyDescent="0.3">
      <c r="B5" s="8" t="s">
        <v>0</v>
      </c>
      <c r="C5" s="9" t="s">
        <v>1</v>
      </c>
      <c r="D5" s="9" t="s">
        <v>2</v>
      </c>
      <c r="E5" s="10" t="s">
        <v>33</v>
      </c>
      <c r="F5" s="14" t="s">
        <v>16</v>
      </c>
      <c r="G5" s="14" t="s">
        <v>3</v>
      </c>
      <c r="H5" s="14" t="s">
        <v>25</v>
      </c>
      <c r="I5" s="14" t="s">
        <v>7</v>
      </c>
      <c r="J5" s="14" t="s">
        <v>47</v>
      </c>
    </row>
    <row r="6" spans="2:10" x14ac:dyDescent="0.3">
      <c r="B6" s="8"/>
      <c r="C6" s="9"/>
      <c r="D6" s="9"/>
      <c r="E6" s="10"/>
      <c r="F6" s="14"/>
      <c r="G6" s="14"/>
      <c r="H6" s="14"/>
      <c r="I6" s="14"/>
      <c r="J6" s="14" t="s">
        <v>48</v>
      </c>
    </row>
    <row r="7" spans="2:10" x14ac:dyDescent="0.3">
      <c r="B7" s="8">
        <v>1</v>
      </c>
      <c r="C7" s="9" t="s">
        <v>4</v>
      </c>
      <c r="D7" s="9" t="s">
        <v>5</v>
      </c>
      <c r="E7" s="10">
        <v>100</v>
      </c>
      <c r="F7" s="14" t="s">
        <v>17</v>
      </c>
      <c r="G7" s="14" t="s">
        <v>6</v>
      </c>
      <c r="H7" s="14" t="s">
        <v>26</v>
      </c>
      <c r="I7" s="14" t="s">
        <v>8</v>
      </c>
      <c r="J7" s="14" t="s">
        <v>48</v>
      </c>
    </row>
    <row r="8" spans="2:10" x14ac:dyDescent="0.3">
      <c r="B8" s="8">
        <v>2</v>
      </c>
      <c r="C8" s="9" t="s">
        <v>9</v>
      </c>
      <c r="D8" s="9" t="s">
        <v>10</v>
      </c>
      <c r="E8" s="10">
        <v>2</v>
      </c>
      <c r="F8" s="14" t="s">
        <v>17</v>
      </c>
      <c r="G8" s="14" t="s">
        <v>11</v>
      </c>
      <c r="H8" s="14" t="s">
        <v>11</v>
      </c>
      <c r="I8" s="14" t="s">
        <v>12</v>
      </c>
      <c r="J8" s="14" t="s">
        <v>48</v>
      </c>
    </row>
    <row r="9" spans="2:10" x14ac:dyDescent="0.3">
      <c r="B9" s="8">
        <v>3</v>
      </c>
      <c r="C9" s="9" t="s">
        <v>18</v>
      </c>
      <c r="D9" s="9" t="s">
        <v>10</v>
      </c>
      <c r="E9" s="10">
        <v>1500</v>
      </c>
      <c r="F9" s="14" t="s">
        <v>17</v>
      </c>
      <c r="G9" s="14" t="s">
        <v>14</v>
      </c>
      <c r="H9" s="14" t="s">
        <v>14</v>
      </c>
      <c r="I9" s="14" t="s">
        <v>20</v>
      </c>
      <c r="J9" s="14" t="s">
        <v>48</v>
      </c>
    </row>
    <row r="10" spans="2:10" x14ac:dyDescent="0.3">
      <c r="B10" s="8">
        <v>4</v>
      </c>
      <c r="C10" s="9" t="s">
        <v>19</v>
      </c>
      <c r="D10" s="9" t="s">
        <v>10</v>
      </c>
      <c r="E10" s="10">
        <v>50</v>
      </c>
      <c r="F10" s="14" t="s">
        <v>17</v>
      </c>
      <c r="G10" s="14" t="s">
        <v>15</v>
      </c>
      <c r="H10" s="14" t="s">
        <v>22</v>
      </c>
      <c r="I10" s="14" t="s">
        <v>21</v>
      </c>
      <c r="J10" s="14" t="s">
        <v>48</v>
      </c>
    </row>
    <row r="11" spans="2:10" x14ac:dyDescent="0.3">
      <c r="B11" s="8">
        <v>5</v>
      </c>
      <c r="C11" s="9" t="s">
        <v>19</v>
      </c>
      <c r="D11" s="9" t="s">
        <v>10</v>
      </c>
      <c r="E11" s="10">
        <v>75</v>
      </c>
      <c r="F11" s="14" t="s">
        <v>17</v>
      </c>
      <c r="G11" s="14" t="s">
        <v>15</v>
      </c>
      <c r="H11" s="14" t="s">
        <v>23</v>
      </c>
      <c r="I11" s="14" t="s">
        <v>21</v>
      </c>
      <c r="J11" s="14" t="s">
        <v>48</v>
      </c>
    </row>
    <row r="12" spans="2:10" x14ac:dyDescent="0.3">
      <c r="B12" s="8">
        <v>6</v>
      </c>
      <c r="C12" s="9" t="s">
        <v>19</v>
      </c>
      <c r="D12" s="9" t="s">
        <v>10</v>
      </c>
      <c r="E12" s="10">
        <v>100</v>
      </c>
      <c r="F12" s="14" t="s">
        <v>17</v>
      </c>
      <c r="G12" s="14" t="s">
        <v>15</v>
      </c>
      <c r="H12" s="14" t="s">
        <v>24</v>
      </c>
      <c r="I12" s="14" t="s">
        <v>21</v>
      </c>
      <c r="J12" s="14" t="s">
        <v>48</v>
      </c>
    </row>
    <row r="13" spans="2:10" ht="15" thickBot="1" x14ac:dyDescent="0.35">
      <c r="B13" s="11">
        <v>7</v>
      </c>
      <c r="C13" s="12" t="s">
        <v>4</v>
      </c>
      <c r="D13" s="12" t="s">
        <v>5</v>
      </c>
      <c r="E13" s="13">
        <v>50</v>
      </c>
      <c r="F13" s="15" t="s">
        <v>17</v>
      </c>
      <c r="G13" s="15" t="s">
        <v>15</v>
      </c>
      <c r="H13" s="15" t="s">
        <v>26</v>
      </c>
      <c r="I13" s="15" t="s">
        <v>8</v>
      </c>
      <c r="J13" s="15" t="s">
        <v>48</v>
      </c>
    </row>
    <row r="16" spans="2:10" x14ac:dyDescent="0.3">
      <c r="F16" s="1"/>
      <c r="G16" s="1"/>
      <c r="H16" s="1" t="s">
        <v>31</v>
      </c>
      <c r="I16" s="1" t="s">
        <v>32</v>
      </c>
    </row>
    <row r="17" spans="6:11" x14ac:dyDescent="0.3">
      <c r="F17" s="1" t="s">
        <v>27</v>
      </c>
      <c r="G17" s="1"/>
      <c r="H17" s="1"/>
      <c r="I17" s="1">
        <f>+I18+I23+I28+I33</f>
        <v>2860</v>
      </c>
      <c r="J17">
        <f>+I17-H17</f>
        <v>2860</v>
      </c>
      <c r="K17">
        <f>+I17-H17</f>
        <v>2860</v>
      </c>
    </row>
    <row r="18" spans="6:11" x14ac:dyDescent="0.3">
      <c r="F18" s="1"/>
      <c r="G18" s="1" t="s">
        <v>6</v>
      </c>
      <c r="H18" s="1"/>
      <c r="I18" s="1">
        <f>+I19</f>
        <v>140</v>
      </c>
    </row>
    <row r="19" spans="6:11" x14ac:dyDescent="0.3">
      <c r="F19" s="1"/>
      <c r="G19" s="1" t="s">
        <v>26</v>
      </c>
      <c r="H19" s="1"/>
      <c r="I19" s="1">
        <f>+I20</f>
        <v>140</v>
      </c>
    </row>
    <row r="20" spans="6:11" x14ac:dyDescent="0.3">
      <c r="F20" s="1"/>
      <c r="G20" s="1" t="s">
        <v>8</v>
      </c>
      <c r="H20" s="1"/>
      <c r="I20" s="1">
        <f>+I21</f>
        <v>140</v>
      </c>
    </row>
    <row r="21" spans="6:11" x14ac:dyDescent="0.3">
      <c r="F21" s="1"/>
      <c r="G21" s="1" t="s">
        <v>4</v>
      </c>
      <c r="H21" s="1"/>
      <c r="I21" s="1">
        <v>140</v>
      </c>
    </row>
    <row r="22" spans="6:11" x14ac:dyDescent="0.3">
      <c r="F22" s="1"/>
      <c r="G22" s="1"/>
      <c r="H22" s="1"/>
      <c r="I22" s="1"/>
    </row>
    <row r="23" spans="6:11" x14ac:dyDescent="0.3">
      <c r="F23" s="1"/>
      <c r="G23" s="1" t="s">
        <v>28</v>
      </c>
      <c r="H23" s="1"/>
      <c r="I23" s="1">
        <f t="shared" ref="I23:I24" si="0">+I24</f>
        <v>2000</v>
      </c>
    </row>
    <row r="24" spans="6:11" x14ac:dyDescent="0.3">
      <c r="F24" s="1"/>
      <c r="G24" s="1" t="s">
        <v>28</v>
      </c>
      <c r="H24" s="1"/>
      <c r="I24" s="1">
        <f t="shared" si="0"/>
        <v>2000</v>
      </c>
    </row>
    <row r="25" spans="6:11" x14ac:dyDescent="0.3">
      <c r="F25" s="1"/>
      <c r="G25" s="1" t="s">
        <v>12</v>
      </c>
      <c r="H25" s="1"/>
      <c r="I25" s="1">
        <f>+I26</f>
        <v>2000</v>
      </c>
    </row>
    <row r="26" spans="6:11" x14ac:dyDescent="0.3">
      <c r="F26" s="1"/>
      <c r="G26" s="1" t="s">
        <v>9</v>
      </c>
      <c r="H26" s="1"/>
      <c r="I26" s="1">
        <v>2000</v>
      </c>
    </row>
    <row r="27" spans="6:11" x14ac:dyDescent="0.3">
      <c r="F27" s="1"/>
      <c r="G27" s="1"/>
      <c r="H27" s="1"/>
      <c r="I27" s="1"/>
    </row>
    <row r="28" spans="6:11" x14ac:dyDescent="0.3">
      <c r="F28" s="1"/>
      <c r="G28" s="1" t="s">
        <v>14</v>
      </c>
      <c r="H28" s="1"/>
      <c r="I28" s="1">
        <f t="shared" ref="I28:I29" si="1">+I29</f>
        <v>500</v>
      </c>
    </row>
    <row r="29" spans="6:11" x14ac:dyDescent="0.3">
      <c r="F29" s="1"/>
      <c r="G29" s="1" t="s">
        <v>14</v>
      </c>
      <c r="H29" s="1"/>
      <c r="I29" s="1">
        <f t="shared" si="1"/>
        <v>500</v>
      </c>
    </row>
    <row r="30" spans="6:11" x14ac:dyDescent="0.3">
      <c r="F30" s="1"/>
      <c r="G30" s="1" t="s">
        <v>29</v>
      </c>
      <c r="H30" s="1"/>
      <c r="I30" s="1">
        <f>+I31</f>
        <v>500</v>
      </c>
    </row>
    <row r="31" spans="6:11" x14ac:dyDescent="0.3">
      <c r="F31" s="1"/>
      <c r="G31" s="1" t="s">
        <v>18</v>
      </c>
      <c r="H31" s="1"/>
      <c r="I31" s="1">
        <v>500</v>
      </c>
    </row>
    <row r="32" spans="6:11" x14ac:dyDescent="0.3">
      <c r="F32" s="1"/>
      <c r="G32" s="1"/>
      <c r="H32" s="1"/>
      <c r="I32" s="1"/>
    </row>
    <row r="33" spans="6:9" x14ac:dyDescent="0.3">
      <c r="F33" s="1"/>
      <c r="G33" s="1" t="s">
        <v>15</v>
      </c>
      <c r="H33" s="1"/>
      <c r="I33" s="1">
        <f>+I34+I37++I40+I43</f>
        <v>220</v>
      </c>
    </row>
    <row r="34" spans="6:9" x14ac:dyDescent="0.3">
      <c r="F34" s="1"/>
      <c r="G34" s="1" t="s">
        <v>22</v>
      </c>
      <c r="H34" s="1"/>
      <c r="I34" s="1">
        <f>+I35</f>
        <v>10</v>
      </c>
    </row>
    <row r="35" spans="6:9" x14ac:dyDescent="0.3">
      <c r="F35" s="1"/>
      <c r="G35" s="1" t="s">
        <v>30</v>
      </c>
      <c r="H35" s="1"/>
      <c r="I35" s="1">
        <f>+I36</f>
        <v>10</v>
      </c>
    </row>
    <row r="36" spans="6:9" x14ac:dyDescent="0.3">
      <c r="F36" s="1"/>
      <c r="G36" s="1" t="s">
        <v>19</v>
      </c>
      <c r="H36" s="1"/>
      <c r="I36" s="1">
        <v>10</v>
      </c>
    </row>
    <row r="37" spans="6:9" x14ac:dyDescent="0.3">
      <c r="F37" s="1"/>
      <c r="G37" s="1" t="s">
        <v>23</v>
      </c>
      <c r="H37" s="1"/>
      <c r="I37" s="1">
        <f>+I38</f>
        <v>20</v>
      </c>
    </row>
    <row r="38" spans="6:9" x14ac:dyDescent="0.3">
      <c r="F38" s="1"/>
      <c r="G38" s="1" t="s">
        <v>30</v>
      </c>
      <c r="H38" s="1"/>
      <c r="I38" s="1">
        <f>+I39</f>
        <v>20</v>
      </c>
    </row>
    <row r="39" spans="6:9" x14ac:dyDescent="0.3">
      <c r="F39" s="1"/>
      <c r="G39" s="1" t="s">
        <v>19</v>
      </c>
      <c r="H39" s="1"/>
      <c r="I39" s="1">
        <v>20</v>
      </c>
    </row>
    <row r="40" spans="6:9" x14ac:dyDescent="0.3">
      <c r="F40" s="1"/>
      <c r="G40" s="1" t="s">
        <v>24</v>
      </c>
      <c r="H40" s="1"/>
      <c r="I40" s="1">
        <f>+I41</f>
        <v>50</v>
      </c>
    </row>
    <row r="41" spans="6:9" x14ac:dyDescent="0.3">
      <c r="F41" s="1"/>
      <c r="G41" s="1" t="s">
        <v>30</v>
      </c>
      <c r="H41" s="1"/>
      <c r="I41" s="1">
        <f>+I42</f>
        <v>50</v>
      </c>
    </row>
    <row r="42" spans="6:9" x14ac:dyDescent="0.3">
      <c r="F42" s="1"/>
      <c r="G42" s="1" t="s">
        <v>19</v>
      </c>
      <c r="H42" s="1"/>
      <c r="I42" s="1">
        <v>50</v>
      </c>
    </row>
    <row r="43" spans="6:9" x14ac:dyDescent="0.3">
      <c r="F43" s="1"/>
      <c r="G43" s="1" t="s">
        <v>13</v>
      </c>
      <c r="H43" s="1"/>
      <c r="I43" s="1">
        <f>+I44</f>
        <v>140</v>
      </c>
    </row>
    <row r="44" spans="6:9" x14ac:dyDescent="0.3">
      <c r="F44" s="1"/>
      <c r="G44" s="1" t="s">
        <v>8</v>
      </c>
      <c r="H44" s="1"/>
      <c r="I44" s="1">
        <f>+I45</f>
        <v>140</v>
      </c>
    </row>
    <row r="45" spans="6:9" x14ac:dyDescent="0.3">
      <c r="F45" s="1"/>
      <c r="G45" s="1" t="s">
        <v>4</v>
      </c>
      <c r="H45" s="1"/>
      <c r="I45" s="1">
        <v>140</v>
      </c>
    </row>
  </sheetData>
  <mergeCells count="1">
    <mergeCell ref="B3:E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73C9-48C1-4368-BDB5-40B033DC1A8F}">
  <dimension ref="B1:H12"/>
  <sheetViews>
    <sheetView showGridLines="0" workbookViewId="0">
      <selection activeCell="E9" sqref="E9"/>
    </sheetView>
  </sheetViews>
  <sheetFormatPr baseColWidth="10" defaultRowHeight="14.4" x14ac:dyDescent="0.3"/>
  <cols>
    <col min="5" max="5" width="18.109375" bestFit="1" customWidth="1"/>
    <col min="6" max="6" width="9.77734375" bestFit="1" customWidth="1"/>
    <col min="7" max="7" width="8.109375" bestFit="1" customWidth="1"/>
    <col min="8" max="8" width="16.77734375" bestFit="1" customWidth="1"/>
  </cols>
  <sheetData>
    <row r="1" spans="2:8" x14ac:dyDescent="0.3">
      <c r="B1" t="s">
        <v>41</v>
      </c>
      <c r="C1" t="s">
        <v>42</v>
      </c>
    </row>
    <row r="3" spans="2:8" x14ac:dyDescent="0.3">
      <c r="B3" t="s">
        <v>25</v>
      </c>
      <c r="C3" t="str">
        <f>+'COMPRAS - PRESUPUESTO VS EJECUT'!H7</f>
        <v xml:space="preserve">RENTAS </v>
      </c>
    </row>
    <row r="5" spans="2:8" x14ac:dyDescent="0.3">
      <c r="B5" s="1" t="s">
        <v>0</v>
      </c>
      <c r="C5" s="1" t="s">
        <v>35</v>
      </c>
      <c r="D5" s="1" t="s">
        <v>36</v>
      </c>
      <c r="E5" s="1" t="s">
        <v>34</v>
      </c>
      <c r="F5" s="1" t="s">
        <v>37</v>
      </c>
      <c r="G5" s="1" t="s">
        <v>38</v>
      </c>
      <c r="H5" s="1" t="s">
        <v>39</v>
      </c>
    </row>
    <row r="6" spans="2:8" x14ac:dyDescent="0.3">
      <c r="B6" s="1">
        <f>+'COMPRAS - PRESUPUESTO VS EJECUT'!B7</f>
        <v>1</v>
      </c>
      <c r="C6" s="1" t="str">
        <f>+'COMPRAS - PRESUPUESTO VS EJECUT'!C7</f>
        <v>TIMBRES</v>
      </c>
      <c r="D6" s="1" t="str">
        <f>+'COMPRAS - PRESUPUESTO VS EJECUT'!D7</f>
        <v>UNO</v>
      </c>
      <c r="E6" s="3">
        <f>+ALMACEN1!E4</f>
        <v>50</v>
      </c>
      <c r="F6" s="4">
        <f>+'COMPRAS - PRESUPUESTO VS EJECUT'!E7</f>
        <v>100</v>
      </c>
      <c r="G6" s="2">
        <f>+ALMACEN2!E8</f>
        <v>92</v>
      </c>
      <c r="H6" s="1">
        <f>+E6+F6-G6</f>
        <v>58</v>
      </c>
    </row>
    <row r="9" spans="2:8" x14ac:dyDescent="0.3">
      <c r="B9" t="s">
        <v>25</v>
      </c>
      <c r="C9" t="s">
        <v>11</v>
      </c>
    </row>
    <row r="11" spans="2:8" x14ac:dyDescent="0.3">
      <c r="B11" s="1" t="s">
        <v>0</v>
      </c>
      <c r="C11" s="1" t="s">
        <v>35</v>
      </c>
      <c r="D11" s="1" t="s">
        <v>36</v>
      </c>
      <c r="E11" s="1" t="s">
        <v>34</v>
      </c>
      <c r="F11" s="1" t="s">
        <v>37</v>
      </c>
      <c r="G11" s="1" t="s">
        <v>38</v>
      </c>
      <c r="H11" s="1" t="s">
        <v>39</v>
      </c>
    </row>
    <row r="12" spans="2:8" x14ac:dyDescent="0.3">
      <c r="B12" s="1">
        <f>+'COMPRAS - PRESUPUESTO VS EJECUT'!B8</f>
        <v>2</v>
      </c>
      <c r="C12" s="1" t="str">
        <f>+'COMPRAS - PRESUPUESTO VS EJECUT'!C8</f>
        <v>LLANTAS</v>
      </c>
      <c r="D12" s="1" t="str">
        <f>+'COMPRAS - PRESUPUESTO VS EJECUT'!D8</f>
        <v>PIEZA</v>
      </c>
      <c r="E12" s="1">
        <v>0</v>
      </c>
      <c r="F12" s="1">
        <f>+'COMPRAS - PRESUPUESTO VS EJECUT'!E8</f>
        <v>2</v>
      </c>
      <c r="G12" s="1"/>
      <c r="H12" s="1">
        <f>+E12+F12-G12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EF47-038C-4C0C-885F-D3C0DDE92AA4}">
  <dimension ref="B2:F4"/>
  <sheetViews>
    <sheetView showGridLines="0" workbookViewId="0">
      <selection activeCell="F2" sqref="F2"/>
    </sheetView>
  </sheetViews>
  <sheetFormatPr baseColWidth="10" defaultRowHeight="14.4" x14ac:dyDescent="0.3"/>
  <cols>
    <col min="5" max="5" width="18.109375" bestFit="1" customWidth="1"/>
    <col min="6" max="6" width="13.21875" bestFit="1" customWidth="1"/>
  </cols>
  <sheetData>
    <row r="2" spans="2:6" x14ac:dyDescent="0.3">
      <c r="B2" t="s">
        <v>25</v>
      </c>
      <c r="C2" t="s">
        <v>13</v>
      </c>
      <c r="F2" t="s">
        <v>55</v>
      </c>
    </row>
    <row r="3" spans="2:6" x14ac:dyDescent="0.3">
      <c r="B3" s="1" t="s">
        <v>0</v>
      </c>
      <c r="C3" s="1" t="s">
        <v>35</v>
      </c>
      <c r="D3" s="1" t="s">
        <v>36</v>
      </c>
      <c r="E3" s="1" t="s">
        <v>34</v>
      </c>
      <c r="F3" s="1" t="s">
        <v>47</v>
      </c>
    </row>
    <row r="4" spans="2:6" x14ac:dyDescent="0.3">
      <c r="B4" s="1">
        <v>1</v>
      </c>
      <c r="C4" s="1" t="s">
        <v>4</v>
      </c>
      <c r="D4" s="1" t="s">
        <v>5</v>
      </c>
      <c r="E4" s="3">
        <v>50</v>
      </c>
      <c r="F4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0D66-BE26-4EAF-B6E7-C260AAA12037}">
  <dimension ref="B4:F8"/>
  <sheetViews>
    <sheetView showGridLines="0" workbookViewId="0">
      <selection activeCell="G9" sqref="G9"/>
    </sheetView>
  </sheetViews>
  <sheetFormatPr baseColWidth="10" defaultRowHeight="14.4" x14ac:dyDescent="0.3"/>
  <cols>
    <col min="5" max="5" width="15.44140625" bestFit="1" customWidth="1"/>
  </cols>
  <sheetData>
    <row r="4" spans="2:6" x14ac:dyDescent="0.3">
      <c r="B4" t="s">
        <v>25</v>
      </c>
      <c r="C4" t="s">
        <v>13</v>
      </c>
      <c r="F4" t="s">
        <v>55</v>
      </c>
    </row>
    <row r="5" spans="2:6" x14ac:dyDescent="0.3">
      <c r="B5" s="1" t="s">
        <v>0</v>
      </c>
      <c r="C5" s="1" t="s">
        <v>35</v>
      </c>
      <c r="D5" s="1" t="s">
        <v>36</v>
      </c>
      <c r="E5" s="1" t="s">
        <v>40</v>
      </c>
      <c r="F5" s="1" t="s">
        <v>43</v>
      </c>
    </row>
    <row r="6" spans="2:6" x14ac:dyDescent="0.3">
      <c r="B6" s="1">
        <f>+ALMACEN1!B4</f>
        <v>1</v>
      </c>
      <c r="C6" s="1" t="str">
        <f>+ALMACEN!C6</f>
        <v>TIMBRES</v>
      </c>
      <c r="D6" s="1" t="str">
        <f>+ALMACEN!D6</f>
        <v>UNO</v>
      </c>
      <c r="E6" s="2">
        <v>80</v>
      </c>
      <c r="F6" s="1" t="s">
        <v>44</v>
      </c>
    </row>
    <row r="7" spans="2:6" x14ac:dyDescent="0.3">
      <c r="B7" s="1">
        <f>+B6</f>
        <v>1</v>
      </c>
      <c r="C7" s="1" t="str">
        <f>+C6</f>
        <v>TIMBRES</v>
      </c>
      <c r="D7" s="1" t="str">
        <f>+D6</f>
        <v>UNO</v>
      </c>
      <c r="E7" s="1">
        <v>12</v>
      </c>
      <c r="F7" s="1" t="s">
        <v>45</v>
      </c>
    </row>
    <row r="8" spans="2:6" x14ac:dyDescent="0.3">
      <c r="E8">
        <f>SUM(E6:E7)</f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821A-4FB5-4F8C-8E35-0FD84D45AB43}">
  <dimension ref="B2:H8"/>
  <sheetViews>
    <sheetView showGridLines="0" workbookViewId="0">
      <selection activeCell="G11" sqref="G11"/>
    </sheetView>
  </sheetViews>
  <sheetFormatPr baseColWidth="10" defaultRowHeight="14.4" x14ac:dyDescent="0.3"/>
  <sheetData>
    <row r="2" spans="2:8" x14ac:dyDescent="0.3">
      <c r="B2" t="s">
        <v>49</v>
      </c>
    </row>
    <row r="3" spans="2:8" x14ac:dyDescent="0.3">
      <c r="B3" t="s">
        <v>25</v>
      </c>
      <c r="C3" t="s">
        <v>13</v>
      </c>
    </row>
    <row r="4" spans="2:8" x14ac:dyDescent="0.3">
      <c r="B4" s="1" t="s">
        <v>0</v>
      </c>
      <c r="C4" s="1" t="s">
        <v>35</v>
      </c>
      <c r="D4" s="1" t="s">
        <v>36</v>
      </c>
      <c r="E4" s="1" t="s">
        <v>51</v>
      </c>
      <c r="F4" s="1" t="s">
        <v>37</v>
      </c>
      <c r="G4" s="1" t="s">
        <v>38</v>
      </c>
      <c r="H4" s="1" t="s">
        <v>50</v>
      </c>
    </row>
    <row r="5" spans="2:8" x14ac:dyDescent="0.3">
      <c r="B5" s="1">
        <v>1</v>
      </c>
      <c r="C5" s="1" t="s">
        <v>4</v>
      </c>
      <c r="D5" s="1" t="s">
        <v>5</v>
      </c>
      <c r="E5" s="1" t="s">
        <v>48</v>
      </c>
      <c r="F5" s="1">
        <f>+'COMPRAS - PRESUPUESTO VS EJECUT'!E7</f>
        <v>100</v>
      </c>
      <c r="G5" s="1"/>
      <c r="H5" s="1">
        <f>+F5-G5</f>
        <v>100</v>
      </c>
    </row>
    <row r="6" spans="2:8" x14ac:dyDescent="0.3">
      <c r="B6" s="1">
        <v>1</v>
      </c>
      <c r="C6" s="1" t="s">
        <v>4</v>
      </c>
      <c r="D6" s="1" t="s">
        <v>5</v>
      </c>
      <c r="E6" s="1" t="s">
        <v>46</v>
      </c>
      <c r="F6" s="1">
        <f>+ALMACEN1!E4</f>
        <v>50</v>
      </c>
      <c r="G6" s="1"/>
      <c r="H6" s="1">
        <f>+H5+F6-G6</f>
        <v>150</v>
      </c>
    </row>
    <row r="7" spans="2:8" x14ac:dyDescent="0.3">
      <c r="B7" s="1">
        <v>1</v>
      </c>
      <c r="C7" s="1" t="s">
        <v>4</v>
      </c>
      <c r="D7" s="1" t="s">
        <v>5</v>
      </c>
      <c r="E7" s="1" t="s">
        <v>44</v>
      </c>
      <c r="F7" s="1"/>
      <c r="G7" s="1">
        <f>+ALMACEN2!E6</f>
        <v>80</v>
      </c>
      <c r="H7" s="1">
        <f t="shared" ref="H7:H8" si="0">+H6+F7-G7</f>
        <v>70</v>
      </c>
    </row>
    <row r="8" spans="2:8" x14ac:dyDescent="0.3">
      <c r="B8" s="1">
        <v>1</v>
      </c>
      <c r="C8" s="1" t="s">
        <v>4</v>
      </c>
      <c r="D8" s="1" t="s">
        <v>5</v>
      </c>
      <c r="E8" s="1" t="s">
        <v>45</v>
      </c>
      <c r="F8" s="1"/>
      <c r="G8" s="1">
        <f>+ALMACEN2!E7</f>
        <v>12</v>
      </c>
      <c r="H8" s="1">
        <f t="shared" si="0"/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COMPRAS - PRESUPUESTO VS EJECUT</vt:lpstr>
      <vt:lpstr>ALMACEN</vt:lpstr>
      <vt:lpstr>ALMACEN1</vt:lpstr>
      <vt:lpstr>ALMACEN2</vt:lpstr>
      <vt:lpstr>ALMACEN3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Novelo</dc:creator>
  <cp:lastModifiedBy>Carlos Ricardo Campos Lope</cp:lastModifiedBy>
  <dcterms:created xsi:type="dcterms:W3CDTF">2026-01-27T23:13:54Z</dcterms:created>
  <dcterms:modified xsi:type="dcterms:W3CDTF">2026-01-28T16:45:17Z</dcterms:modified>
</cp:coreProperties>
</file>